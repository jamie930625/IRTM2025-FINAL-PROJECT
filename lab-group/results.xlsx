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eogu\Downloads\irtm2025-final-project\"/>
    </mc:Choice>
  </mc:AlternateContent>
  <xr:revisionPtr revIDLastSave="0" documentId="13_ncr:1_{647A74D9-AC26-4577-B019-2BC88F47653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J34" i="1"/>
  <c r="K34" i="1"/>
  <c r="L34" i="1"/>
  <c r="I35" i="1"/>
  <c r="J35" i="1"/>
  <c r="K35" i="1"/>
  <c r="L35" i="1"/>
  <c r="J33" i="1"/>
  <c r="K33" i="1"/>
  <c r="L33" i="1"/>
  <c r="I33" i="1"/>
  <c r="I16" i="1"/>
  <c r="J16" i="1"/>
  <c r="K16" i="1"/>
  <c r="L16" i="1"/>
  <c r="I17" i="1"/>
  <c r="J17" i="1"/>
  <c r="K17" i="1"/>
  <c r="L17" i="1"/>
  <c r="J15" i="1"/>
  <c r="K15" i="1"/>
  <c r="L15" i="1"/>
  <c r="I15" i="1"/>
  <c r="I28" i="1"/>
  <c r="J28" i="1"/>
  <c r="K28" i="1"/>
  <c r="L28" i="1"/>
  <c r="I29" i="1"/>
  <c r="J29" i="1"/>
  <c r="K29" i="1"/>
  <c r="L29" i="1"/>
  <c r="J27" i="1"/>
  <c r="K27" i="1"/>
  <c r="L27" i="1"/>
  <c r="I27" i="1"/>
  <c r="L9" i="1"/>
  <c r="L10" i="1"/>
  <c r="L11" i="1"/>
  <c r="I10" i="1"/>
  <c r="J10" i="1"/>
  <c r="K10" i="1"/>
  <c r="I11" i="1"/>
  <c r="J11" i="1"/>
  <c r="K11" i="1"/>
  <c r="J9" i="1"/>
  <c r="K9" i="1"/>
  <c r="I9" i="1"/>
</calcChain>
</file>

<file path=xl/sharedStrings.xml><?xml version="1.0" encoding="utf-8"?>
<sst xmlns="http://schemas.openxmlformats.org/spreadsheetml/2006/main" count="96" uniqueCount="19">
  <si>
    <t>Binary Retrieval (BM25, K1=0)</t>
  </si>
  <si>
    <t>TF-IDF</t>
  </si>
  <si>
    <t>BM25</t>
  </si>
  <si>
    <t>map</t>
  </si>
  <si>
    <t>ndcg@10</t>
  </si>
  <si>
    <t>recall@100</t>
  </si>
  <si>
    <t>precision@5</t>
  </si>
  <si>
    <t>queries_manual_2022.tsv:</t>
  </si>
  <si>
    <t>queries_1a_chiq_llama_2022.tsv:</t>
  </si>
  <si>
    <t>queries_1b_chiq_llama_2022.tsv:</t>
  </si>
  <si>
    <t>queries_1c_chiq_llama_2022.tsv:</t>
  </si>
  <si>
    <t>queries_1a_llm4cs_llama_2022.tsv:</t>
  </si>
  <si>
    <t>queries_1b_llm4cs_llama_2022.tsv:</t>
  </si>
  <si>
    <t>queries_1c_llm4cs_llama_2022.tsv:</t>
  </si>
  <si>
    <t>queries_1a_llm4cs_qwen_2022.tsv:</t>
  </si>
  <si>
    <t>queries_avg_chiq_llama_2022.tsv:</t>
  </si>
  <si>
    <t>queries_avg_llm4cs_llama_2022.tsv:</t>
  </si>
  <si>
    <t>queries_max_chiq_llama_2022.tsv:</t>
  </si>
  <si>
    <t>queries_max_llm4cs_llama_2022.tsv: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</si>
</sst>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13" workbookViewId="0">
      <selection activeCell="N31" sqref="N31"/>
    </sheetView>
  </sheetViews>
  <sheetFormatPr defaultRowHeight="14.5" x14ac:dyDescent="0.35"/>
  <cols>
    <col min="1" max="12" width="8.7265625" style="2"/>
  </cols>
  <sheetData>
    <row r="1" spans="1:12" x14ac:dyDescent="0.35">
      <c r="A1" s="1" t="s">
        <v>7</v>
      </c>
    </row>
    <row r="2" spans="1:12" x14ac:dyDescent="0.35">
      <c r="B2" s="2" t="s">
        <v>3</v>
      </c>
      <c r="C2" s="2" t="s">
        <v>4</v>
      </c>
      <c r="D2" s="2" t="s">
        <v>5</v>
      </c>
      <c r="E2" s="2" t="s">
        <v>6</v>
      </c>
    </row>
    <row r="3" spans="1:12" x14ac:dyDescent="0.35">
      <c r="A3" s="2" t="s">
        <v>0</v>
      </c>
      <c r="B3" s="2">
        <v>2.0500000000000001E-2</v>
      </c>
      <c r="C3" s="2">
        <v>2.0400000000000001E-2</v>
      </c>
      <c r="D3" s="2">
        <v>0.1799</v>
      </c>
      <c r="E3" s="2">
        <v>6.6E-3</v>
      </c>
    </row>
    <row r="4" spans="1:12" x14ac:dyDescent="0.35">
      <c r="A4" s="2" t="s">
        <v>1</v>
      </c>
      <c r="B4" s="2">
        <v>7.8100000000000003E-2</v>
      </c>
      <c r="C4" s="2">
        <v>0.10290000000000001</v>
      </c>
      <c r="D4" s="2">
        <v>0.35620000000000002</v>
      </c>
      <c r="E4" s="2">
        <v>2.75E-2</v>
      </c>
    </row>
    <row r="5" spans="1:12" x14ac:dyDescent="0.35">
      <c r="A5" s="2" t="s">
        <v>2</v>
      </c>
      <c r="B5" s="2">
        <v>8.2699999999999996E-2</v>
      </c>
      <c r="C5" s="2">
        <v>0.10979999999999999</v>
      </c>
      <c r="D5" s="2">
        <v>0.37</v>
      </c>
      <c r="E5" s="2">
        <v>3.6299999999999999E-2</v>
      </c>
    </row>
    <row r="7" spans="1:12" x14ac:dyDescent="0.35">
      <c r="A7" s="1" t="s">
        <v>8</v>
      </c>
      <c r="H7" s="1" t="s">
        <v>15</v>
      </c>
    </row>
    <row r="8" spans="1:12" x14ac:dyDescent="0.35">
      <c r="B8" s="2" t="s">
        <v>3</v>
      </c>
      <c r="C8" s="2" t="s">
        <v>4</v>
      </c>
      <c r="D8" s="2" t="s">
        <v>5</v>
      </c>
      <c r="E8" s="2" t="s">
        <v>6</v>
      </c>
      <c r="I8" s="2" t="s">
        <v>3</v>
      </c>
      <c r="J8" s="2" t="s">
        <v>4</v>
      </c>
      <c r="K8" s="2" t="s">
        <v>5</v>
      </c>
      <c r="L8" s="2" t="s">
        <v>6</v>
      </c>
    </row>
    <row r="9" spans="1:12" x14ac:dyDescent="0.35">
      <c r="A9" s="2" t="s">
        <v>0</v>
      </c>
      <c r="B9" s="2">
        <v>1.55E-2</v>
      </c>
      <c r="C9" s="2">
        <v>1.7899999999999999E-2</v>
      </c>
      <c r="D9" s="2">
        <v>0.1658</v>
      </c>
      <c r="E9" s="2">
        <v>5.4999999999999997E-3</v>
      </c>
      <c r="H9" s="2" t="s">
        <v>0</v>
      </c>
      <c r="I9" s="2">
        <f>AVERAGE(B15,B9,B21)</f>
        <v>1.6633333333333333E-2</v>
      </c>
      <c r="J9" s="2">
        <f t="shared" ref="J9:K9" si="0">AVERAGE(C15,C9,C21)</f>
        <v>1.9599999999999999E-2</v>
      </c>
      <c r="K9" s="2">
        <f t="shared" si="0"/>
        <v>0.15066666666666667</v>
      </c>
      <c r="L9" s="2">
        <f>AVERAGE(E15,E9,E21)</f>
        <v>6.5999999999999991E-3</v>
      </c>
    </row>
    <row r="10" spans="1:12" x14ac:dyDescent="0.35">
      <c r="A10" s="2" t="s">
        <v>1</v>
      </c>
      <c r="B10" s="2">
        <v>4.9099999999999998E-2</v>
      </c>
      <c r="C10" s="2">
        <v>5.74E-2</v>
      </c>
      <c r="D10" s="2">
        <v>0.2505</v>
      </c>
      <c r="E10" s="2">
        <v>1.8700000000000001E-2</v>
      </c>
      <c r="H10" s="2" t="s">
        <v>1</v>
      </c>
      <c r="I10" s="2">
        <f t="shared" ref="I10:I11" si="1">AVERAGE(B16,B10,B22)</f>
        <v>4.8233333333333329E-2</v>
      </c>
      <c r="J10" s="2">
        <f t="shared" ref="J10:J11" si="2">AVERAGE(C16,C10,C22)</f>
        <v>6.1233333333333334E-2</v>
      </c>
      <c r="K10" s="2">
        <f t="shared" ref="K10:L11" si="3">AVERAGE(D16,D10,D22)</f>
        <v>0.25766666666666665</v>
      </c>
      <c r="L10" s="2">
        <f t="shared" si="3"/>
        <v>1.9066666666666666E-2</v>
      </c>
    </row>
    <row r="11" spans="1:12" x14ac:dyDescent="0.35">
      <c r="A11" s="2" t="s">
        <v>2</v>
      </c>
      <c r="B11" s="2">
        <v>0.05</v>
      </c>
      <c r="C11" s="2">
        <v>5.9499999999999997E-2</v>
      </c>
      <c r="D11" s="2">
        <v>0.26329999999999998</v>
      </c>
      <c r="E11" s="2">
        <v>1.8700000000000001E-2</v>
      </c>
      <c r="H11" s="2" t="s">
        <v>2</v>
      </c>
      <c r="I11" s="2">
        <f t="shared" si="1"/>
        <v>5.3533333333333342E-2</v>
      </c>
      <c r="J11" s="2">
        <f t="shared" si="2"/>
        <v>6.5733333333333324E-2</v>
      </c>
      <c r="K11" s="2">
        <f t="shared" si="3"/>
        <v>0.2671</v>
      </c>
      <c r="L11" s="2">
        <f t="shared" si="3"/>
        <v>2.1266666666666666E-2</v>
      </c>
    </row>
    <row r="13" spans="1:12" x14ac:dyDescent="0.35">
      <c r="A13" s="1" t="s">
        <v>9</v>
      </c>
      <c r="H13" s="1" t="s">
        <v>17</v>
      </c>
    </row>
    <row r="14" spans="1:12" x14ac:dyDescent="0.35">
      <c r="B14" s="2" t="s">
        <v>3</v>
      </c>
      <c r="C14" s="2" t="s">
        <v>4</v>
      </c>
      <c r="D14" s="2" t="s">
        <v>5</v>
      </c>
      <c r="E14" s="2" t="s">
        <v>6</v>
      </c>
      <c r="I14" s="2" t="s">
        <v>3</v>
      </c>
      <c r="J14" s="2" t="s">
        <v>4</v>
      </c>
      <c r="K14" s="2" t="s">
        <v>5</v>
      </c>
      <c r="L14" s="2" t="s">
        <v>6</v>
      </c>
    </row>
    <row r="15" spans="1:12" x14ac:dyDescent="0.35">
      <c r="A15" s="2" t="s">
        <v>0</v>
      </c>
      <c r="B15" s="2">
        <v>1.1599999999999999E-2</v>
      </c>
      <c r="C15" s="2">
        <v>1.3100000000000001E-2</v>
      </c>
      <c r="D15" s="2">
        <v>0.1653</v>
      </c>
      <c r="E15" s="2">
        <v>4.4000000000000003E-3</v>
      </c>
      <c r="H15" s="2" t="s">
        <v>0</v>
      </c>
      <c r="I15" s="2">
        <f>MAX(B9,B15,B21)</f>
        <v>2.2800000000000001E-2</v>
      </c>
      <c r="J15" s="2">
        <f t="shared" ref="J15:L15" si="4">MAX(C9,C15,C21)</f>
        <v>2.7799999999999998E-2</v>
      </c>
      <c r="K15" s="2">
        <f t="shared" si="4"/>
        <v>0.1658</v>
      </c>
      <c r="L15" s="2">
        <f t="shared" si="4"/>
        <v>9.9000000000000008E-3</v>
      </c>
    </row>
    <row r="16" spans="1:12" x14ac:dyDescent="0.35">
      <c r="A16" s="2" t="s">
        <v>1</v>
      </c>
      <c r="B16" s="2">
        <v>4.1000000000000002E-2</v>
      </c>
      <c r="C16" s="2">
        <v>5.2200000000000003E-2</v>
      </c>
      <c r="D16" s="2">
        <v>0.27429999999999999</v>
      </c>
      <c r="E16" s="2">
        <v>1.54E-2</v>
      </c>
      <c r="H16" s="2" t="s">
        <v>1</v>
      </c>
      <c r="I16" s="2">
        <f t="shared" ref="I16:I17" si="5">MAX(B10,B16,B22)</f>
        <v>5.4600000000000003E-2</v>
      </c>
      <c r="J16" s="2">
        <f t="shared" ref="J16:J17" si="6">MAX(C10,C16,C22)</f>
        <v>7.4099999999999999E-2</v>
      </c>
      <c r="K16" s="2">
        <f t="shared" ref="K16:K17" si="7">MAX(D10,D16,D22)</f>
        <v>0.27429999999999999</v>
      </c>
      <c r="L16" s="2">
        <f t="shared" ref="L16:L17" si="8">MAX(E10,E16,E22)</f>
        <v>2.3099999999999999E-2</v>
      </c>
    </row>
    <row r="17" spans="1:12" x14ac:dyDescent="0.35">
      <c r="A17" s="2" t="s">
        <v>2</v>
      </c>
      <c r="B17" s="2">
        <v>4.9500000000000002E-2</v>
      </c>
      <c r="C17" s="2">
        <v>6.1800000000000001E-2</v>
      </c>
      <c r="D17" s="2">
        <v>0.28070000000000001</v>
      </c>
      <c r="E17" s="2">
        <v>1.8700000000000001E-2</v>
      </c>
      <c r="H17" s="2" t="s">
        <v>2</v>
      </c>
      <c r="I17" s="2">
        <f t="shared" si="5"/>
        <v>6.1100000000000002E-2</v>
      </c>
      <c r="J17" s="2">
        <f t="shared" si="6"/>
        <v>7.5899999999999995E-2</v>
      </c>
      <c r="K17" s="2">
        <f t="shared" si="7"/>
        <v>0.28070000000000001</v>
      </c>
      <c r="L17" s="2">
        <f t="shared" si="8"/>
        <v>2.64E-2</v>
      </c>
    </row>
    <row r="19" spans="1:12" x14ac:dyDescent="0.35">
      <c r="A19" s="1" t="s">
        <v>10</v>
      </c>
    </row>
    <row r="20" spans="1:12" x14ac:dyDescent="0.35">
      <c r="B20" s="2" t="s">
        <v>3</v>
      </c>
      <c r="C20" s="2" t="s">
        <v>4</v>
      </c>
      <c r="D20" s="2" t="s">
        <v>5</v>
      </c>
      <c r="E20" s="2" t="s">
        <v>6</v>
      </c>
    </row>
    <row r="21" spans="1:12" x14ac:dyDescent="0.35">
      <c r="A21" s="2" t="s">
        <v>0</v>
      </c>
      <c r="B21" s="2">
        <v>2.2800000000000001E-2</v>
      </c>
      <c r="C21" s="2">
        <v>2.7799999999999998E-2</v>
      </c>
      <c r="D21" s="2">
        <v>0.12089999999999999</v>
      </c>
      <c r="E21" s="2">
        <v>9.9000000000000008E-3</v>
      </c>
    </row>
    <row r="22" spans="1:12" x14ac:dyDescent="0.35">
      <c r="A22" s="2" t="s">
        <v>1</v>
      </c>
      <c r="B22" s="2">
        <v>5.4600000000000003E-2</v>
      </c>
      <c r="C22" s="2">
        <v>7.4099999999999999E-2</v>
      </c>
      <c r="D22" s="2">
        <v>0.2482</v>
      </c>
      <c r="E22" s="2">
        <v>2.3099999999999999E-2</v>
      </c>
    </row>
    <row r="23" spans="1:12" x14ac:dyDescent="0.35">
      <c r="A23" s="2" t="s">
        <v>2</v>
      </c>
      <c r="B23" s="2">
        <v>6.1100000000000002E-2</v>
      </c>
      <c r="C23" s="2">
        <v>7.5899999999999995E-2</v>
      </c>
      <c r="D23" s="2">
        <v>0.25729999999999997</v>
      </c>
      <c r="E23" s="2">
        <v>2.64E-2</v>
      </c>
    </row>
    <row r="25" spans="1:12" x14ac:dyDescent="0.35">
      <c r="A25" s="1" t="s">
        <v>11</v>
      </c>
      <c r="H25" s="1" t="s">
        <v>16</v>
      </c>
    </row>
    <row r="26" spans="1:12" x14ac:dyDescent="0.35">
      <c r="B26" s="2" t="s">
        <v>3</v>
      </c>
      <c r="C26" s="2" t="s">
        <v>4</v>
      </c>
      <c r="D26" s="2" t="s">
        <v>5</v>
      </c>
      <c r="E26" s="2" t="s">
        <v>6</v>
      </c>
      <c r="I26" s="2" t="s">
        <v>3</v>
      </c>
      <c r="J26" s="2" t="s">
        <v>4</v>
      </c>
      <c r="K26" s="2" t="s">
        <v>5</v>
      </c>
      <c r="L26" s="2" t="s">
        <v>6</v>
      </c>
    </row>
    <row r="27" spans="1:12" x14ac:dyDescent="0.35">
      <c r="A27" s="2" t="s">
        <v>0</v>
      </c>
      <c r="B27" s="2">
        <v>2.5100000000000001E-2</v>
      </c>
      <c r="C27" s="2">
        <v>3.2800000000000003E-2</v>
      </c>
      <c r="D27" s="2">
        <v>0.13100000000000001</v>
      </c>
      <c r="E27" s="2">
        <v>1.21E-2</v>
      </c>
      <c r="H27" s="2" t="s">
        <v>0</v>
      </c>
      <c r="I27" s="2">
        <f>AVERAGE(B27,B33,B39)</f>
        <v>1.4400000000000001E-2</v>
      </c>
      <c r="J27" s="2">
        <f t="shared" ref="J27:L27" si="9">AVERAGE(C27,C33,C39)</f>
        <v>1.9700000000000002E-2</v>
      </c>
      <c r="K27" s="2">
        <f t="shared" si="9"/>
        <v>0.12520000000000001</v>
      </c>
      <c r="L27" s="2">
        <f t="shared" si="9"/>
        <v>6.6000000000000008E-3</v>
      </c>
    </row>
    <row r="28" spans="1:12" x14ac:dyDescent="0.35">
      <c r="A28" s="2" t="s">
        <v>1</v>
      </c>
      <c r="B28" s="2">
        <v>4.99E-2</v>
      </c>
      <c r="C28" s="2">
        <v>6.4100000000000004E-2</v>
      </c>
      <c r="D28" s="2">
        <v>0.2495</v>
      </c>
      <c r="E28" s="2">
        <v>2.1999999999999999E-2</v>
      </c>
      <c r="H28" s="2" t="s">
        <v>1</v>
      </c>
      <c r="I28" s="2">
        <f t="shared" ref="I28:I29" si="10">AVERAGE(B28,B34,B40)</f>
        <v>5.5833333333333325E-2</v>
      </c>
      <c r="J28" s="2">
        <f t="shared" ref="J28:J29" si="11">AVERAGE(C28,C34,C40)</f>
        <v>6.8100000000000008E-2</v>
      </c>
      <c r="K28" s="2">
        <f t="shared" ref="K28:K29" si="12">AVERAGE(D28,D34,D40)</f>
        <v>0.24616666666666664</v>
      </c>
      <c r="L28" s="2">
        <f t="shared" ref="L28:L29" si="13">AVERAGE(E28,E34,E40)</f>
        <v>2.2000000000000002E-2</v>
      </c>
    </row>
    <row r="29" spans="1:12" x14ac:dyDescent="0.35">
      <c r="A29" s="2" t="s">
        <v>2</v>
      </c>
      <c r="B29" s="2">
        <v>5.4899999999999997E-2</v>
      </c>
      <c r="C29" s="2">
        <v>7.0800000000000002E-2</v>
      </c>
      <c r="D29" s="2">
        <v>0.27150000000000002</v>
      </c>
      <c r="E29" s="2">
        <v>2.3099999999999999E-2</v>
      </c>
      <c r="H29" s="2" t="s">
        <v>2</v>
      </c>
      <c r="I29" s="2">
        <f t="shared" si="10"/>
        <v>6.0633333333333338E-2</v>
      </c>
      <c r="J29" s="2">
        <f t="shared" si="11"/>
        <v>7.9533333333333331E-2</v>
      </c>
      <c r="K29" s="2">
        <f t="shared" si="12"/>
        <v>0.26496666666666663</v>
      </c>
      <c r="L29" s="2">
        <f t="shared" si="13"/>
        <v>2.2733333333333331E-2</v>
      </c>
    </row>
    <row r="31" spans="1:12" x14ac:dyDescent="0.35">
      <c r="A31" s="1" t="s">
        <v>12</v>
      </c>
      <c r="H31" s="1" t="s">
        <v>18</v>
      </c>
    </row>
    <row r="32" spans="1:12" x14ac:dyDescent="0.35">
      <c r="B32" s="2" t="s">
        <v>3</v>
      </c>
      <c r="C32" s="2" t="s">
        <v>4</v>
      </c>
      <c r="D32" s="2" t="s">
        <v>5</v>
      </c>
      <c r="E32" s="2" t="s">
        <v>6</v>
      </c>
      <c r="I32" s="2" t="s">
        <v>3</v>
      </c>
      <c r="J32" s="2" t="s">
        <v>4</v>
      </c>
      <c r="K32" s="2" t="s">
        <v>5</v>
      </c>
      <c r="L32" s="2" t="s">
        <v>6</v>
      </c>
    </row>
    <row r="33" spans="1:12" x14ac:dyDescent="0.35">
      <c r="A33" s="2" t="s">
        <v>0</v>
      </c>
      <c r="B33" s="2">
        <v>8.5000000000000006E-3</v>
      </c>
      <c r="C33" s="2">
        <v>1.29E-2</v>
      </c>
      <c r="D33" s="2">
        <v>0.11360000000000001</v>
      </c>
      <c r="E33" s="2">
        <v>4.4000000000000003E-3</v>
      </c>
      <c r="H33" s="2" t="s">
        <v>0</v>
      </c>
      <c r="I33" s="2">
        <f>MAX(B27,B33,B39)</f>
        <v>2.5100000000000001E-2</v>
      </c>
      <c r="J33" s="2">
        <f t="shared" ref="J33:L33" si="14">MAX(C27,C33,C39)</f>
        <v>3.2800000000000003E-2</v>
      </c>
      <c r="K33" s="2">
        <f t="shared" si="14"/>
        <v>0.13100000000000001</v>
      </c>
      <c r="L33" s="2">
        <f t="shared" si="14"/>
        <v>1.21E-2</v>
      </c>
    </row>
    <row r="34" spans="1:12" x14ac:dyDescent="0.35">
      <c r="A34" s="2" t="s">
        <v>1</v>
      </c>
      <c r="B34" s="2">
        <v>0.06</v>
      </c>
      <c r="C34" s="2">
        <v>6.83E-2</v>
      </c>
      <c r="D34" s="2">
        <v>0.2404</v>
      </c>
      <c r="E34" s="2">
        <v>1.8700000000000001E-2</v>
      </c>
      <c r="H34" s="2" t="s">
        <v>1</v>
      </c>
      <c r="I34" s="2">
        <f t="shared" ref="I34:I35" si="15">MAX(B28,B34,B40)</f>
        <v>0.06</v>
      </c>
      <c r="J34" s="2">
        <f t="shared" ref="J34:J35" si="16">MAX(C28,C34,C40)</f>
        <v>7.1900000000000006E-2</v>
      </c>
      <c r="K34" s="2">
        <f t="shared" ref="K34:K35" si="17">MAX(D28,D34,D40)</f>
        <v>0.2495</v>
      </c>
      <c r="L34" s="2">
        <f t="shared" ref="L34:L35" si="18">MAX(E28,E34,E40)</f>
        <v>2.53E-2</v>
      </c>
    </row>
    <row r="35" spans="1:12" x14ac:dyDescent="0.35">
      <c r="A35" s="2" t="s">
        <v>2</v>
      </c>
      <c r="B35" s="2">
        <v>6.3899999999999998E-2</v>
      </c>
      <c r="C35" s="2">
        <v>8.6400000000000005E-2</v>
      </c>
      <c r="D35" s="2">
        <v>0.25690000000000002</v>
      </c>
      <c r="E35" s="2">
        <v>1.9800000000000002E-2</v>
      </c>
      <c r="H35" s="2" t="s">
        <v>2</v>
      </c>
      <c r="I35" s="2">
        <f t="shared" si="15"/>
        <v>6.3899999999999998E-2</v>
      </c>
      <c r="J35" s="2">
        <f t="shared" si="16"/>
        <v>8.6400000000000005E-2</v>
      </c>
      <c r="K35" s="2">
        <f t="shared" si="17"/>
        <v>0.27150000000000002</v>
      </c>
      <c r="L35" s="2">
        <f t="shared" si="18"/>
        <v>2.53E-2</v>
      </c>
    </row>
    <row r="37" spans="1:12" x14ac:dyDescent="0.35">
      <c r="A37" s="1" t="s">
        <v>13</v>
      </c>
    </row>
    <row r="38" spans="1:12" x14ac:dyDescent="0.35">
      <c r="B38" s="2" t="s">
        <v>3</v>
      </c>
      <c r="C38" s="2" t="s">
        <v>4</v>
      </c>
      <c r="D38" s="2" t="s">
        <v>5</v>
      </c>
      <c r="E38" s="2" t="s">
        <v>6</v>
      </c>
    </row>
    <row r="39" spans="1:12" x14ac:dyDescent="0.35">
      <c r="A39" s="2" t="s">
        <v>0</v>
      </c>
      <c r="B39" s="2">
        <v>9.5999999999999992E-3</v>
      </c>
      <c r="C39" s="2">
        <v>1.34E-2</v>
      </c>
      <c r="D39" s="2">
        <v>0.13100000000000001</v>
      </c>
      <c r="E39" s="2">
        <v>3.3E-3</v>
      </c>
    </row>
    <row r="40" spans="1:12" x14ac:dyDescent="0.35">
      <c r="A40" s="2" t="s">
        <v>1</v>
      </c>
      <c r="B40" s="2">
        <v>5.7599999999999998E-2</v>
      </c>
      <c r="C40" s="2">
        <v>7.1900000000000006E-2</v>
      </c>
      <c r="D40" s="2">
        <v>0.24859999999999999</v>
      </c>
      <c r="E40" s="2">
        <v>2.53E-2</v>
      </c>
    </row>
    <row r="41" spans="1:12" x14ac:dyDescent="0.35">
      <c r="A41" s="2" t="s">
        <v>2</v>
      </c>
      <c r="B41" s="2">
        <v>6.3100000000000003E-2</v>
      </c>
      <c r="C41" s="2">
        <v>8.14E-2</v>
      </c>
      <c r="D41" s="2">
        <v>0.26650000000000001</v>
      </c>
      <c r="E41" s="2">
        <v>2.53E-2</v>
      </c>
    </row>
    <row r="43" spans="1:12" x14ac:dyDescent="0.35">
      <c r="A43" s="1" t="s">
        <v>14</v>
      </c>
    </row>
    <row r="44" spans="1:12" x14ac:dyDescent="0.35">
      <c r="B44" s="2" t="s">
        <v>3</v>
      </c>
      <c r="C44" s="2" t="s">
        <v>4</v>
      </c>
      <c r="D44" s="2" t="s">
        <v>5</v>
      </c>
      <c r="E44" s="2" t="s">
        <v>6</v>
      </c>
    </row>
    <row r="45" spans="1:12" x14ac:dyDescent="0.35">
      <c r="A45" s="2" t="s">
        <v>0</v>
      </c>
      <c r="B45" s="2">
        <v>2.4500000000000001E-2</v>
      </c>
      <c r="C45" s="2">
        <v>3.1399999999999997E-2</v>
      </c>
      <c r="D45" s="2">
        <v>0.1255</v>
      </c>
      <c r="E45" s="2">
        <v>9.9000000000000008E-3</v>
      </c>
    </row>
    <row r="46" spans="1:12" x14ac:dyDescent="0.35">
      <c r="A46" s="2" t="s">
        <v>1</v>
      </c>
      <c r="B46" s="2">
        <v>6.7900000000000002E-2</v>
      </c>
      <c r="C46" s="2">
        <v>8.0100000000000005E-2</v>
      </c>
      <c r="D46" s="2">
        <v>0.28749999999999998</v>
      </c>
      <c r="E46" s="2">
        <v>2.1999999999999999E-2</v>
      </c>
    </row>
    <row r="47" spans="1:12" x14ac:dyDescent="0.35">
      <c r="A47" s="2" t="s">
        <v>2</v>
      </c>
      <c r="B47" s="2">
        <v>7.5899999999999995E-2</v>
      </c>
      <c r="C47" s="2">
        <v>8.72E-2</v>
      </c>
      <c r="D47" s="2">
        <v>0.2903</v>
      </c>
      <c r="E47" s="2">
        <v>2.53E-2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姚權維</dc:creator>
  <cp:lastModifiedBy>權維 姚</cp:lastModifiedBy>
  <dcterms:created xsi:type="dcterms:W3CDTF">2015-06-05T18:17:20Z</dcterms:created>
  <dcterms:modified xsi:type="dcterms:W3CDTF">2025-12-21T15:57:38Z</dcterms:modified>
</cp:coreProperties>
</file>